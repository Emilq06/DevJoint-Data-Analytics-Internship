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2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<sst xmlns="http://schemas.openxmlformats.org/spreadsheetml/2006/main" count="26" uniqueCount="15">
  <si>
    <t>year</t>
  </si>
  <si>
    <t>channel</t>
  </si>
  <si>
    <t>sessions</t>
  </si>
  <si>
    <t>conversions</t>
  </si>
  <si>
    <t>spend</t>
  </si>
  <si>
    <t>revenue</t>
  </si>
  <si>
    <t>conversion_rate_pct</t>
  </si>
  <si>
    <t>roas</t>
  </si>
  <si>
    <t>cpa</t>
  </si>
  <si>
    <t>Organic Search</t>
  </si>
  <si>
    <t>Email</t>
  </si>
  <si>
    <t>Paid Search</t>
  </si>
  <si>
    <t>Paid Social</t>
  </si>
  <si>
    <t>SUM of conversion_rate_pct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</si>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</sst>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2024, 2025 and Grand Total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2'!$B$1:$B$2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2'!$A$3:$A$6</c:f>
            </c:strRef>
          </c:cat>
          <c:val>
            <c:numRef>
              <c:f>'Pivot Table 2'!$B$3:$B$6</c:f>
              <c:numCache/>
            </c:numRef>
          </c:val>
        </c:ser>
        <c:ser>
          <c:idx val="1"/>
          <c:order val="1"/>
          <c:tx>
            <c:strRef>
              <c:f>'Pivot Table 2'!$C$1:$C$2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'Pivot Table 2'!$A$3:$A$6</c:f>
            </c:strRef>
          </c:cat>
          <c:val>
            <c:numRef>
              <c:f>'Pivot Table 2'!$C$3:$C$6</c:f>
              <c:numCache/>
            </c:numRef>
          </c:val>
        </c:ser>
        <c:axId val="2037921564"/>
        <c:axId val="202749201"/>
      </c:barChart>
      <c:catAx>
        <c:axId val="20379215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channel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749201"/>
      </c:catAx>
      <c:valAx>
        <c:axId val="2027492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79215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428625</xdr:colOff>
      <xdr:row>0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9" sheet="Sheet1"/>
  </cacheSource>
  <cacheFields>
    <cacheField name="year" numFmtId="0">
      <sharedItems containsSemiMixedTypes="0" containsString="0" containsNumber="1" containsInteger="1">
        <n v="2024.0"/>
        <n v="2025.0"/>
      </sharedItems>
    </cacheField>
    <cacheField name="channel" numFmtId="0">
      <sharedItems>
        <s v="Organic Search"/>
        <s v="Email"/>
        <s v="Paid Search"/>
        <s v="Paid Social"/>
      </sharedItems>
    </cacheField>
    <cacheField name="sessions" numFmtId="0">
      <sharedItems containsSemiMixedTypes="0" containsString="0" containsNumber="1" containsInteger="1">
        <n v="563078.0"/>
        <n v="434529.0"/>
        <n v="437980.0"/>
        <n v="500469.0"/>
        <n v="563035.0"/>
        <n v="434056.0"/>
        <n v="438323.0"/>
        <n v="501261.0"/>
      </sharedItems>
    </cacheField>
    <cacheField name="conversions" numFmtId="0">
      <sharedItems containsSemiMixedTypes="0" containsString="0" containsNumber="1" containsInteger="1">
        <n v="46341.0"/>
        <n v="28145.0"/>
        <n v="20767.0"/>
        <n v="15344.0"/>
        <n v="48263.0"/>
        <n v="29338.0"/>
        <n v="21642.0"/>
        <n v="15943.0"/>
      </sharedItems>
    </cacheField>
    <cacheField name="spend" numFmtId="0">
      <sharedItems containsSemiMixedTypes="0" containsString="0" containsNumber="1">
        <n v="26243.79"/>
        <n v="12128.67"/>
        <n v="224251.89"/>
        <n v="164018.02"/>
        <n v="28127.4"/>
        <n v="13008.39"/>
        <n v="241325.14"/>
        <n v="175969.72"/>
      </sharedItems>
    </cacheField>
    <cacheField name="revenue" numFmtId="0">
      <sharedItems containsSemiMixedTypes="0" containsString="0" containsNumber="1">
        <n v="2689616.06"/>
        <n v="1526269.58"/>
        <n v="1043811.04"/>
        <n v="672576.5"/>
        <n v="2988441.07"/>
        <n v="1696176.02"/>
        <n v="1162497.72"/>
        <n v="751271.41"/>
      </sharedItems>
    </cacheField>
    <cacheField name="conversion_rate_pct" numFmtId="0">
      <sharedItems containsSemiMixedTypes="0" containsString="0" containsNumber="1">
        <n v="8.23"/>
        <n v="6.48"/>
        <n v="4.74"/>
        <n v="3.07"/>
        <n v="8.57"/>
        <n v="6.76"/>
        <n v="4.94"/>
        <n v="3.18"/>
      </sharedItems>
    </cacheField>
    <cacheField name="roas" numFmtId="0">
      <sharedItems containsSemiMixedTypes="0" containsString="0" containsNumber="1">
        <n v="102.49"/>
        <n v="125.84"/>
        <n v="4.65"/>
        <n v="4.1"/>
        <n v="106.25"/>
        <n v="130.39"/>
        <n v="4.82"/>
        <n v="4.27"/>
      </sharedItems>
    </cacheField>
    <cacheField name="cpa" numFmtId="0">
      <sharedItems containsSemiMixedTypes="0" containsString="0" containsNumber="1">
        <n v="0.57"/>
        <n v="0.43"/>
        <n v="10.8"/>
        <n v="10.69"/>
        <n v="0.58"/>
        <n v="0.44"/>
        <n v="11.15"/>
        <n v="11.0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D7" firstHeaderRow="0" firstDataRow="1" firstDataCol="1"/>
  <pivotFields>
    <pivotField name="year" axis="axisCol" compact="0" outline="0" multipleItemSelectionAllowed="1" showAll="0" sortType="ascending">
      <items>
        <item x="0"/>
        <item x="1"/>
        <item t="default"/>
      </items>
    </pivotField>
    <pivotField name="channel" axis="axisRow" compact="0" outline="0" multipleItemSelectionAllowed="1" showAll="0" sortType="ascending">
      <items>
        <item x="1"/>
        <item x="0"/>
        <item x="2"/>
        <item x="3"/>
        <item t="default"/>
      </items>
    </pivotField>
    <pivotField name="s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nver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pend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nversion_rate_pc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oa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p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1"/>
  </rowFields>
  <colFields>
    <field x="0"/>
  </colFields>
  <dataFields>
    <dataField name="SUM of conversion_rate_pct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2024.0</v>
      </c>
      <c r="B2" s="1" t="s">
        <v>9</v>
      </c>
      <c r="C2" s="1">
        <v>563078.0</v>
      </c>
      <c r="D2" s="1">
        <v>46341.0</v>
      </c>
      <c r="E2" s="1">
        <v>26243.79</v>
      </c>
      <c r="F2" s="1">
        <v>2689616.06</v>
      </c>
      <c r="G2" s="1">
        <v>8.23</v>
      </c>
      <c r="H2" s="1">
        <v>102.49</v>
      </c>
      <c r="I2" s="1">
        <v>0.57</v>
      </c>
    </row>
    <row r="3">
      <c r="A3" s="1">
        <v>2024.0</v>
      </c>
      <c r="B3" s="1" t="s">
        <v>10</v>
      </c>
      <c r="C3" s="1">
        <v>434529.0</v>
      </c>
      <c r="D3" s="1">
        <v>28145.0</v>
      </c>
      <c r="E3" s="1">
        <v>12128.67</v>
      </c>
      <c r="F3" s="1">
        <v>1526269.58</v>
      </c>
      <c r="G3" s="1">
        <v>6.48</v>
      </c>
      <c r="H3" s="1">
        <v>125.84</v>
      </c>
      <c r="I3" s="1">
        <v>0.43</v>
      </c>
    </row>
    <row r="4">
      <c r="A4" s="1">
        <v>2024.0</v>
      </c>
      <c r="B4" s="1" t="s">
        <v>11</v>
      </c>
      <c r="C4" s="1">
        <v>437980.0</v>
      </c>
      <c r="D4" s="1">
        <v>20767.0</v>
      </c>
      <c r="E4" s="1">
        <v>224251.89</v>
      </c>
      <c r="F4" s="1">
        <v>1043811.04</v>
      </c>
      <c r="G4" s="1">
        <v>4.74</v>
      </c>
      <c r="H4" s="1">
        <v>4.65</v>
      </c>
      <c r="I4" s="1">
        <v>10.8</v>
      </c>
    </row>
    <row r="5">
      <c r="A5" s="1">
        <v>2024.0</v>
      </c>
      <c r="B5" s="1" t="s">
        <v>12</v>
      </c>
      <c r="C5" s="1">
        <v>500469.0</v>
      </c>
      <c r="D5" s="1">
        <v>15344.0</v>
      </c>
      <c r="E5" s="1">
        <v>164018.02</v>
      </c>
      <c r="F5" s="1">
        <v>672576.5</v>
      </c>
      <c r="G5" s="1">
        <v>3.07</v>
      </c>
      <c r="H5" s="1">
        <v>4.1</v>
      </c>
      <c r="I5" s="1">
        <v>10.69</v>
      </c>
    </row>
    <row r="6">
      <c r="A6" s="1">
        <v>2025.0</v>
      </c>
      <c r="B6" s="1" t="s">
        <v>9</v>
      </c>
      <c r="C6" s="1">
        <v>563035.0</v>
      </c>
      <c r="D6" s="1">
        <v>48263.0</v>
      </c>
      <c r="E6" s="1">
        <v>28127.4</v>
      </c>
      <c r="F6" s="1">
        <v>2988441.07</v>
      </c>
      <c r="G6" s="1">
        <v>8.57</v>
      </c>
      <c r="H6" s="1">
        <v>106.25</v>
      </c>
      <c r="I6" s="1">
        <v>0.58</v>
      </c>
    </row>
    <row r="7">
      <c r="A7" s="1">
        <v>2025.0</v>
      </c>
      <c r="B7" s="1" t="s">
        <v>10</v>
      </c>
      <c r="C7" s="1">
        <v>434056.0</v>
      </c>
      <c r="D7" s="1">
        <v>29338.0</v>
      </c>
      <c r="E7" s="1">
        <v>13008.39</v>
      </c>
      <c r="F7" s="1">
        <v>1696176.02</v>
      </c>
      <c r="G7" s="1">
        <v>6.76</v>
      </c>
      <c r="H7" s="1">
        <v>130.39</v>
      </c>
      <c r="I7" s="1">
        <v>0.44</v>
      </c>
    </row>
    <row r="8">
      <c r="A8" s="1">
        <v>2025.0</v>
      </c>
      <c r="B8" s="1" t="s">
        <v>11</v>
      </c>
      <c r="C8" s="1">
        <v>438323.0</v>
      </c>
      <c r="D8" s="1">
        <v>21642.0</v>
      </c>
      <c r="E8" s="1">
        <v>241325.14</v>
      </c>
      <c r="F8" s="1">
        <v>1162497.72</v>
      </c>
      <c r="G8" s="1">
        <v>4.94</v>
      </c>
      <c r="H8" s="1">
        <v>4.82</v>
      </c>
      <c r="I8" s="1">
        <v>11.15</v>
      </c>
    </row>
    <row r="9">
      <c r="A9" s="1">
        <v>2025.0</v>
      </c>
      <c r="B9" s="1" t="s">
        <v>12</v>
      </c>
      <c r="C9" s="1">
        <v>501261.0</v>
      </c>
      <c r="D9" s="1">
        <v>15943.0</v>
      </c>
      <c r="E9" s="1">
        <v>175969.72</v>
      </c>
      <c r="F9" s="1">
        <v>751271.41</v>
      </c>
      <c r="G9" s="1">
        <v>3.18</v>
      </c>
      <c r="H9" s="1">
        <v>4.27</v>
      </c>
      <c r="I9" s="1">
        <v>11.04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